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EMESTER 4\TEKSAM\"/>
    </mc:Choice>
  </mc:AlternateContent>
  <xr:revisionPtr revIDLastSave="0" documentId="13_ncr:1_{B273E91C-E792-4AF7-9FF6-27423299901B}" xr6:coauthVersionLast="47" xr6:coauthVersionMax="47" xr10:uidLastSave="{00000000-0000-0000-0000-000000000000}"/>
  <bookViews>
    <workbookView xWindow="-96" yWindow="0" windowWidth="11712" windowHeight="12336" xr2:uid="{3FF2F6E9-C33E-4821-B789-0606799DD27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1" l="1"/>
  <c r="D11" i="1"/>
  <c r="D12" i="1"/>
  <c r="D13" i="1"/>
  <c r="D14" i="1"/>
  <c r="D15" i="1"/>
  <c r="D16" i="1"/>
  <c r="D17" i="1"/>
  <c r="D18" i="1"/>
  <c r="D19" i="1"/>
  <c r="D9" i="1"/>
  <c r="C9" i="1"/>
  <c r="B19" i="1"/>
  <c r="B18" i="1"/>
  <c r="B17" i="1"/>
  <c r="B16" i="1"/>
  <c r="B15" i="1"/>
  <c r="B14" i="1"/>
  <c r="B13" i="1"/>
  <c r="B12" i="1"/>
  <c r="B11" i="1"/>
  <c r="B10" i="1"/>
  <c r="B9" i="1"/>
  <c r="F4" i="1"/>
  <c r="E4" i="1"/>
  <c r="D4" i="1"/>
</calcChain>
</file>

<file path=xl/sharedStrings.xml><?xml version="1.0" encoding="utf-8"?>
<sst xmlns="http://schemas.openxmlformats.org/spreadsheetml/2006/main" count="24" uniqueCount="24">
  <si>
    <t>JENIS KELAMIN</t>
  </si>
  <si>
    <t>Laki-Laki</t>
  </si>
  <si>
    <t>Perempuan</t>
  </si>
  <si>
    <t>JUMLAH POPULASI</t>
  </si>
  <si>
    <t>JUMLAH SAMPEL</t>
  </si>
  <si>
    <t>TOTAL</t>
  </si>
  <si>
    <t>PROPORSI POPULASI</t>
  </si>
  <si>
    <t>PROPORSI SAMPEL</t>
  </si>
  <si>
    <t>BOBOT</t>
  </si>
  <si>
    <t>HITUNG WEIGHTING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</si>
  <si>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</si>
  <si>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</si>
  <si>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</si>
  <si>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</si>
  <si>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</si>
  <si>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</si>
  <si>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</si>
  <si>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</si>
  <si>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</si>
  <si>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</si>
  <si>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</si>
  <si>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SIGMA Wi</t>
  </si>
  <si>
    <t>SIGMA WiYi</t>
  </si>
  <si>
    <t>Weight Sederhana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</si>
</sst>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EAC7-BB64-4379-B2F1-3A00262E8DC6}">
  <dimension ref="A1:F19"/>
  <sheetViews>
    <sheetView tabSelected="1" workbookViewId="0">
      <selection activeCell="A7" sqref="A7:E7"/>
    </sheetView>
  </sheetViews>
  <sheetFormatPr defaultRowHeight="14.4" x14ac:dyDescent="0.3"/>
  <cols>
    <col min="1" max="1" width="18.21875" bestFit="1" customWidth="1"/>
    <col min="2" max="2" width="16.5546875" bestFit="1" customWidth="1"/>
    <col min="3" max="3" width="15" bestFit="1" customWidth="1"/>
    <col min="4" max="4" width="18.109375" bestFit="1" customWidth="1"/>
    <col min="5" max="5" width="16.44140625" bestFit="1" customWidth="1"/>
  </cols>
  <sheetData>
    <row r="1" spans="1:6" x14ac:dyDescent="0.3">
      <c r="A1" t="s">
        <v>0</v>
      </c>
      <c r="B1" t="s">
        <v>3</v>
      </c>
      <c r="C1" t="s">
        <v>4</v>
      </c>
      <c r="D1" t="s">
        <v>6</v>
      </c>
      <c r="E1" t="s">
        <v>7</v>
      </c>
      <c r="F1" t="s">
        <v>8</v>
      </c>
    </row>
    <row r="2" spans="1:6" x14ac:dyDescent="0.3">
      <c r="A2" t="s">
        <v>1</v>
      </c>
      <c r="B2">
        <v>31</v>
      </c>
      <c r="C2">
        <v>9</v>
      </c>
      <c r="D2">
        <v>0.19700000000000001</v>
      </c>
      <c r="E2">
        <v>0.32100000000000001</v>
      </c>
      <c r="F2">
        <v>0.61399999999999999</v>
      </c>
    </row>
    <row r="3" spans="1:6" x14ac:dyDescent="0.3">
      <c r="A3" t="s">
        <v>2</v>
      </c>
      <c r="B3">
        <v>126</v>
      </c>
      <c r="C3">
        <v>19</v>
      </c>
      <c r="D3">
        <v>0.80300000000000005</v>
      </c>
      <c r="E3">
        <v>0.67900000000000005</v>
      </c>
      <c r="F3">
        <v>1.1830000000000001</v>
      </c>
    </row>
    <row r="4" spans="1:6" x14ac:dyDescent="0.3">
      <c r="A4" t="s">
        <v>5</v>
      </c>
      <c r="B4">
        <v>157</v>
      </c>
      <c r="C4">
        <v>28</v>
      </c>
      <c r="D4">
        <f>D2+D3</f>
        <v>1</v>
      </c>
      <c r="E4">
        <f>E2+E3</f>
        <v>1</v>
      </c>
      <c r="F4">
        <f>F2+F3</f>
        <v>1.7970000000000002</v>
      </c>
    </row>
    <row r="7" spans="1:6" x14ac:dyDescent="0.3">
      <c r="A7" s="1" t="s">
        <v>9</v>
      </c>
      <c r="B7" s="1"/>
      <c r="C7" s="1"/>
      <c r="D7" s="1"/>
      <c r="E7" s="1"/>
    </row>
    <row r="8" spans="1:6" x14ac:dyDescent="0.3">
      <c r="B8" s="2" t="s">
        <v>22</v>
      </c>
      <c r="C8" t="s">
        <v>21</v>
      </c>
      <c r="D8" t="s">
        <v>23</v>
      </c>
    </row>
    <row r="9" spans="1:6" x14ac:dyDescent="0.3">
      <c r="A9" t="s">
        <v>10</v>
      </c>
      <c r="B9">
        <f>4*F2+13*F3</f>
        <v>17.835000000000001</v>
      </c>
      <c r="C9">
        <f>(9*F2)+(19*F3)</f>
        <v>28.003</v>
      </c>
      <c r="D9" s="2">
        <f>B9/C9</f>
        <v>0.63689604685212298</v>
      </c>
    </row>
    <row r="10" spans="1:6" x14ac:dyDescent="0.3">
      <c r="A10" t="s">
        <v>11</v>
      </c>
      <c r="B10">
        <f>5*F2+14*F3</f>
        <v>19.632000000000001</v>
      </c>
      <c r="C10">
        <v>28.003</v>
      </c>
      <c r="D10" s="2">
        <f t="shared" ref="D10:D21" si="0">B10/C10</f>
        <v>0.70106774274184913</v>
      </c>
    </row>
    <row r="11" spans="1:6" x14ac:dyDescent="0.3">
      <c r="A11" t="s">
        <v>12</v>
      </c>
      <c r="B11">
        <f>0*F2+6*F3</f>
        <v>7.0980000000000008</v>
      </c>
      <c r="C11">
        <v>28.003</v>
      </c>
      <c r="D11" s="2">
        <f t="shared" si="0"/>
        <v>0.25347284219547911</v>
      </c>
    </row>
    <row r="12" spans="1:6" x14ac:dyDescent="0.3">
      <c r="A12" t="s">
        <v>13</v>
      </c>
      <c r="B12">
        <f>5*F2+11*F3</f>
        <v>16.082999999999998</v>
      </c>
      <c r="C12">
        <v>28.003</v>
      </c>
      <c r="D12" s="2">
        <f t="shared" si="0"/>
        <v>0.57433132164410949</v>
      </c>
    </row>
    <row r="13" spans="1:6" x14ac:dyDescent="0.3">
      <c r="A13" t="s">
        <v>14</v>
      </c>
      <c r="B13">
        <f>4*F2+11*F3</f>
        <v>15.468999999999999</v>
      </c>
      <c r="C13">
        <v>28.003</v>
      </c>
      <c r="D13" s="2">
        <f t="shared" si="0"/>
        <v>0.55240509945362992</v>
      </c>
    </row>
    <row r="14" spans="1:6" x14ac:dyDescent="0.3">
      <c r="A14" t="s">
        <v>15</v>
      </c>
      <c r="B14">
        <f>6*F2+15*F3</f>
        <v>21.429000000000002</v>
      </c>
      <c r="C14">
        <v>28.003</v>
      </c>
      <c r="D14" s="2">
        <f t="shared" si="0"/>
        <v>0.76523943863157529</v>
      </c>
    </row>
    <row r="15" spans="1:6" x14ac:dyDescent="0.3">
      <c r="A15" t="s">
        <v>16</v>
      </c>
      <c r="B15">
        <f>7*F2+7*F3</f>
        <v>12.579000000000001</v>
      </c>
      <c r="C15">
        <v>28.003</v>
      </c>
      <c r="D15" s="2">
        <f t="shared" si="0"/>
        <v>0.44920187122808275</v>
      </c>
    </row>
    <row r="16" spans="1:6" x14ac:dyDescent="0.3">
      <c r="A16" t="s">
        <v>17</v>
      </c>
      <c r="B16">
        <f>6*F2+13*F3</f>
        <v>19.063000000000002</v>
      </c>
      <c r="C16">
        <v>28.003</v>
      </c>
      <c r="D16" s="2">
        <f t="shared" si="0"/>
        <v>0.68074849123308223</v>
      </c>
    </row>
    <row r="17" spans="1:4" x14ac:dyDescent="0.3">
      <c r="A17" t="s">
        <v>18</v>
      </c>
      <c r="B17">
        <f>8*F2+14*F3</f>
        <v>21.474</v>
      </c>
      <c r="C17">
        <v>28.003</v>
      </c>
      <c r="D17" s="2">
        <f t="shared" si="0"/>
        <v>0.76684640931328785</v>
      </c>
    </row>
    <row r="18" spans="1:4" x14ac:dyDescent="0.3">
      <c r="A18" t="s">
        <v>19</v>
      </c>
      <c r="B18">
        <f>8*F2+15*F3</f>
        <v>22.657</v>
      </c>
      <c r="C18">
        <v>28.003</v>
      </c>
      <c r="D18" s="2">
        <f t="shared" si="0"/>
        <v>0.80909188301253432</v>
      </c>
    </row>
    <row r="19" spans="1:4" x14ac:dyDescent="0.3">
      <c r="A19" t="s">
        <v>20</v>
      </c>
      <c r="B19">
        <f>6*F2+15*F3</f>
        <v>21.429000000000002</v>
      </c>
      <c r="C19">
        <v>28.003</v>
      </c>
      <c r="D19" s="2">
        <f t="shared" si="0"/>
        <v>0.76523943863157529</v>
      </c>
    </row>
  </sheetData>
  <mergeCells count="1">
    <mergeCell ref="A7:E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icha ibadah</dc:creator>
  <cp:lastModifiedBy>icha ibadah</cp:lastModifiedBy>
  <dcterms:created xsi:type="dcterms:W3CDTF">2026-05-15T14:29:31Z</dcterms:created>
  <dcterms:modified xsi:type="dcterms:W3CDTF">2026-05-16T03:50:54Z</dcterms:modified>
</cp:coreProperties>
</file>